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ilo Wendt\Documents\altium\ultrazohm_digital_voltage_3u_1vxx\Project Outputs for ultrazohm_digital_voltage_3U_1vxx\3v00\BOM\"/>
    </mc:Choice>
  </mc:AlternateContent>
  <xr:revisionPtr revIDLastSave="0" documentId="8_{63383D28-D249-4E9B-8DFA-DFFFBD285D32}" xr6:coauthVersionLast="45" xr6:coauthVersionMax="45" xr10:uidLastSave="{00000000-0000-0000-0000-000000000000}"/>
  <bookViews>
    <workbookView xWindow="6405" yWindow="4215" windowWidth="21600" windowHeight="11385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8" i="3" l="1"/>
  <c r="B17" i="3"/>
  <c r="B16" i="3"/>
  <c r="B15" i="3"/>
  <c r="B14" i="3"/>
  <c r="B13" i="3"/>
  <c r="B12" i="3"/>
  <c r="B11" i="3" l="1"/>
  <c r="B10" i="3"/>
  <c r="G8" i="3"/>
  <c r="H8" i="3"/>
</calcChain>
</file>

<file path=xl/sharedStrings.xml><?xml version="1.0" encoding="utf-8"?>
<sst xmlns="http://schemas.openxmlformats.org/spreadsheetml/2006/main" count="120" uniqueCount="90">
  <si>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</si>
  <si>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</si>
  <si>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</si>
  <si>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</si>
  <si>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</si>
  <si>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</si>
  <si>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</si>
  <si>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</si>
  <si>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</si>
  <si>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</si>
  <si>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</si>
  <si>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</si>
  <si>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</si>
  <si>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</si>
  <si>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</si>
  <si>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</si>
  <si>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</si>
  <si>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</si>
  <si>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</si>
  <si>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</si>
  <si>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</si>
  <si>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</si>
  <si>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</si>
  <si>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</si>
  <si>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BOM_UltraZohm_Digital_Voltage_RS422_output for Variant [3V3_to_RS422_output] of BOM Document [UltraZohm_DigitalVoltage_ActiveBom.BomDoc]</t>
  </si>
  <si>
    <t>UltraZohm_DigitalVoltage_ActiveBom.BomDoc</t>
  </si>
  <si>
    <t>ultrazohm_digital_voltage_3U_1vxx.PrjPCB</t>
  </si>
  <si>
    <t>3V3_to_RS422_output</t>
  </si>
  <si>
    <t>04.03.2021</t>
  </si>
  <si>
    <t>13:23</t>
  </si>
  <si>
    <t>140</t>
  </si>
  <si>
    <t>Quantity</t>
  </si>
  <si>
    <t>Name</t>
  </si>
  <si>
    <t>0.1 µF</t>
  </si>
  <si>
    <t>#NAME?</t>
  </si>
  <si>
    <t>0R</t>
  </si>
  <si>
    <t>470R</t>
  </si>
  <si>
    <t>47R</t>
  </si>
  <si>
    <t>DS26C31TMX/NOPB</t>
  </si>
  <si>
    <t>IPL1-115-01-L-D-RA-K</t>
  </si>
  <si>
    <t>IPL1-120-01-L-D-RA-K</t>
  </si>
  <si>
    <t>Designator</t>
  </si>
  <si>
    <t>C5A, C5B, C5C, C5D, C5E, C5F, C5G, C5H</t>
  </si>
  <si>
    <t>D1</t>
  </si>
  <si>
    <t>R1, R51, R52, R53, R54, R55, R56, R57, R58, R59, R60, R61, R62, R63, R64, R65, R66, R67, R68, R69, R70, R71, R72, R73, R74, R75, R76, R77, R78, R79, R80</t>
  </si>
  <si>
    <t>R9</t>
  </si>
  <si>
    <t>R81, R82, R83, R84, R85, R86, R87, R88, R89, R90, R91, R92, R93, R94, R95, R96, R97, R98, R100, R101, R102, R103, R104, R105, R106, R107, R108, R109, R110, R111, R112, R113, R114, R115, R116, R117, R118, R119, R120, R121, R122, R123, R124, R125, R126, R127, R128, R129, R130, R131, R132, R133, R134, R135, R136, R137, R138, R139, R140</t>
  </si>
  <si>
    <t>R144, R145, R146, R147, R148, R149, R150, R151, R152, R153, R154, R155, R156, R157, R158, R159, R160, R161, R162, R163, R164, R165, R166, R167, R168, R169, R170, R171, R172, R173</t>
  </si>
  <si>
    <t>U3A, U3B, U3C, U3D, U3E, U3F, U3G, U3H</t>
  </si>
  <si>
    <t>X2</t>
  </si>
  <si>
    <t>X3</t>
  </si>
  <si>
    <t>Value</t>
  </si>
  <si>
    <t>Footprint</t>
  </si>
  <si>
    <t>C_0603</t>
  </si>
  <si>
    <t>WL-SMCW_0603</t>
  </si>
  <si>
    <t>RES 0603_1608</t>
  </si>
  <si>
    <t>TI_D-R-PDSO-G16_N</t>
  </si>
  <si>
    <t>IPL1-115-01-XX-D-RA</t>
  </si>
  <si>
    <t>IPL1-120-01-XX-D-RA</t>
  </si>
  <si>
    <t>Device Package</t>
  </si>
  <si>
    <t>0603</t>
  </si>
  <si>
    <t>SOIC</t>
  </si>
  <si>
    <t>Connector</t>
  </si>
  <si>
    <t>LCSC Part Number</t>
  </si>
  <si>
    <t>C14663</t>
  </si>
  <si>
    <t>C2286</t>
  </si>
  <si>
    <t>C21189</t>
  </si>
  <si>
    <t>C23179</t>
  </si>
  <si>
    <t>C23182</t>
  </si>
  <si>
    <t>C132085</t>
  </si>
  <si>
    <t>Manufacturer</t>
  </si>
  <si>
    <t>KEMET</t>
  </si>
  <si>
    <t>Hubei KENTO Elec</t>
  </si>
  <si>
    <t>YAGEO</t>
  </si>
  <si>
    <t>KOA Speer</t>
  </si>
  <si>
    <t>Texas Instruments</t>
  </si>
  <si>
    <t>SAMTEC</t>
  </si>
  <si>
    <t>Manufacturer Part Number</t>
  </si>
  <si>
    <t>C0603X104K5RAC7411</t>
  </si>
  <si>
    <t>KT-0603R</t>
  </si>
  <si>
    <t>RC0603JR-070RL</t>
  </si>
  <si>
    <t>RK73B1JTTD471J</t>
  </si>
  <si>
    <t>RK73B1JTTDD470J</t>
  </si>
  <si>
    <t>C:\Users\Thilo Wendt\Documents\altium\ultrazohm_digital_voltage_3u_1vxx\ultrazohm_digital_voltage_3U_1vxx.PrjPCB</t>
  </si>
  <si>
    <t>C:\Users\Thilo Wendt\Documents\altium\ultrazohm_digital_voltage_3u_1vxx\UltraZohm_DigitalVoltage_ActiveBom.BomDoc</t>
  </si>
  <si>
    <t>04.03.2021 13:23</t>
  </si>
  <si>
    <t>BOM_UltraZohm_Digital_Voltage_RS422_output</t>
  </si>
  <si>
    <t>BOM_PartType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</si>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</sst>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4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0" fillId="0" borderId="7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8" xfId="0" applyFont="1" applyFill="1" applyBorder="1" applyAlignment="1"/>
    <xf numFmtId="0" fontId="8" fillId="3" borderId="9" xfId="0" applyFont="1" applyFill="1" applyBorder="1" applyAlignment="1">
      <alignment horizontal="left"/>
    </xf>
    <xf numFmtId="0" fontId="9" fillId="3" borderId="9" xfId="0" applyFont="1" applyFill="1" applyBorder="1" applyAlignment="1"/>
    <xf numFmtId="0" fontId="8" fillId="3" borderId="9" xfId="0" applyFont="1" applyFill="1" applyBorder="1" applyAlignment="1"/>
    <xf numFmtId="0" fontId="9" fillId="3" borderId="9" xfId="0" applyFont="1" applyFill="1" applyBorder="1" applyAlignment="1">
      <alignment horizontal="left"/>
    </xf>
    <xf numFmtId="0" fontId="10" fillId="3" borderId="0" xfId="0" applyFont="1" applyFill="1" applyBorder="1" applyAlignment="1"/>
    <xf numFmtId="0" fontId="11" fillId="3" borderId="10" xfId="0" applyFont="1" applyFill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3" xfId="0" applyNumberFormat="1" applyFont="1" applyFill="1" applyBorder="1" applyAlignment="1" applyProtection="1">
      <alignment vertical="top"/>
      <protection locked="0"/>
    </xf>
    <xf numFmtId="0" fontId="1" fillId="0" borderId="14" xfId="0" applyNumberFormat="1" applyFont="1" applyFill="1" applyBorder="1" applyAlignment="1" applyProtection="1">
      <alignment horizontal="left" vertical="top"/>
      <protection locked="0"/>
    </xf>
    <xf numFmtId="0" fontId="1" fillId="0" borderId="8" xfId="0" applyNumberFormat="1" applyFont="1" applyFill="1" applyBorder="1" applyAlignment="1" applyProtection="1">
      <alignment horizontal="left" vertical="top"/>
      <protection locked="0"/>
    </xf>
    <xf numFmtId="0" fontId="14" fillId="0" borderId="9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6" xfId="0" applyFont="1" applyFill="1" applyBorder="1" applyAlignment="1"/>
    <xf numFmtId="0" fontId="5" fillId="5" borderId="15" xfId="0" applyFont="1" applyFill="1" applyBorder="1" applyAlignment="1"/>
    <xf numFmtId="0" fontId="5" fillId="5" borderId="1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4" fontId="9" fillId="3" borderId="9" xfId="0" applyNumberFormat="1" applyFont="1" applyFill="1" applyBorder="1" applyAlignment="1">
      <alignment horizontal="left"/>
    </xf>
    <xf numFmtId="14" fontId="9" fillId="3" borderId="9" xfId="0" applyNumberFormat="1" applyFont="1" applyFill="1" applyBorder="1" applyAlignment="1">
      <alignment horizontal="left"/>
    </xf>
    <xf numFmtId="0" fontId="7" fillId="6" borderId="18" xfId="0" applyFont="1" applyFill="1" applyBorder="1" applyAlignment="1">
      <alignment vertical="top" wrapText="1"/>
    </xf>
    <xf numFmtId="0" fontId="7" fillId="7" borderId="19" xfId="0" applyFont="1" applyFill="1" applyBorder="1" applyAlignment="1">
      <alignment vertical="top" wrapText="1"/>
    </xf>
    <xf numFmtId="0" fontId="2" fillId="0" borderId="8" xfId="0" applyNumberFormat="1" applyFont="1" applyFill="1" applyBorder="1" applyAlignment="1" applyProtection="1">
      <alignment vertical="top"/>
      <protection locked="0"/>
    </xf>
    <xf numFmtId="0" fontId="2" fillId="0" borderId="16" xfId="0" applyNumberFormat="1" applyFont="1" applyFill="1" applyBorder="1" applyAlignment="1" applyProtection="1">
      <alignment vertical="top"/>
      <protection locked="0"/>
    </xf>
    <xf numFmtId="49" fontId="7" fillId="6" borderId="20" xfId="0" applyNumberFormat="1" applyFont="1" applyFill="1" applyBorder="1" applyAlignment="1">
      <alignment vertical="top" wrapText="1"/>
    </xf>
    <xf numFmtId="49" fontId="7" fillId="6" borderId="21" xfId="0" applyNumberFormat="1" applyFont="1" applyFill="1" applyBorder="1" applyAlignment="1">
      <alignment vertical="top" wrapText="1"/>
    </xf>
    <xf numFmtId="49" fontId="7" fillId="7" borderId="22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23" xfId="0" applyNumberFormat="1" applyFont="1" applyFill="1" applyBorder="1" applyAlignment="1">
      <alignment vertical="top" wrapText="1"/>
    </xf>
    <xf numFmtId="0" fontId="0" fillId="0" borderId="3" xfId="0" applyBorder="1" applyAlignment="1">
      <alignment vertical="top"/>
    </xf>
    <xf numFmtId="0" fontId="4" fillId="5" borderId="24" xfId="0" applyFont="1" applyFill="1" applyBorder="1" applyAlignment="1">
      <alignment horizontal="center" vertical="center"/>
    </xf>
    <xf numFmtId="0" fontId="0" fillId="0" borderId="14" xfId="0" applyBorder="1" applyAlignment="1">
      <alignment vertical="top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8" xfId="0" quotePrefix="1" applyFont="1" applyFill="1" applyBorder="1" applyAlignment="1">
      <alignment horizontal="left"/>
    </xf>
    <xf numFmtId="0" fontId="8" fillId="3" borderId="9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4" xfId="0" quotePrefix="1" applyNumberFormat="1" applyFont="1" applyFill="1" applyBorder="1" applyAlignment="1" applyProtection="1">
      <alignment vertical="top"/>
      <protection locked="0"/>
    </xf>
    <xf numFmtId="0" fontId="13" fillId="4" borderId="12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2</xdr:row>
      <xdr:rowOff>95250</xdr:rowOff>
    </xdr:from>
    <xdr:to>
      <xdr:col>10</xdr:col>
      <xdr:colOff>200025</xdr:colOff>
      <xdr:row>5</xdr:row>
      <xdr:rowOff>57150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D4B1BE7B-16B1-403E-A899-8CF8C32C9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742950"/>
          <a:ext cx="48958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27"/>
  <sheetViews>
    <sheetView showGridLines="0" tabSelected="1" zoomScaleNormal="100" workbookViewId="0">
      <selection activeCell="D15" sqref="D15"/>
    </sheetView>
  </sheetViews>
  <sheetFormatPr baseColWidth="10" defaultColWidth="9.140625" defaultRowHeight="12.75" x14ac:dyDescent="0.2"/>
  <cols>
    <col min="1" max="1" width="3.140625" style="1" customWidth="1"/>
    <col min="2" max="2" width="5.42578125" style="1" customWidth="1"/>
    <col min="3" max="3" width="17.140625" style="1" customWidth="1"/>
    <col min="4" max="4" width="15.85546875" style="4" bestFit="1" customWidth="1"/>
    <col min="5" max="5" width="26.42578125" style="4" bestFit="1" customWidth="1"/>
    <col min="6" max="6" width="12.42578125" style="4" bestFit="1" customWidth="1"/>
    <col min="7" max="7" width="15.42578125" style="4" bestFit="1" customWidth="1"/>
    <col min="8" max="8" width="20.28515625" style="1" bestFit="1" customWidth="1"/>
    <col min="9" max="9" width="22.85546875" style="1" bestFit="1" customWidth="1"/>
    <col min="10" max="10" width="19.28515625" style="1" bestFit="1" customWidth="1"/>
    <col min="11" max="11" width="30.5703125" style="1" bestFit="1" customWidth="1"/>
    <col min="12" max="19" width="13.140625" style="1" customWidth="1"/>
    <col min="20" max="20" width="17.85546875" style="1" customWidth="1"/>
    <col min="21" max="21" width="10" style="1" customWidth="1"/>
    <col min="22" max="16384" width="9.140625" style="1"/>
  </cols>
  <sheetData>
    <row r="1" spans="1:21" ht="13.5" thickBot="1" x14ac:dyDescent="0.25">
      <c r="A1" s="32"/>
      <c r="B1" s="32"/>
      <c r="C1" s="32"/>
      <c r="D1" s="34"/>
      <c r="E1" s="34"/>
      <c r="F1" s="35"/>
      <c r="G1" s="35"/>
      <c r="H1" s="35"/>
      <c r="I1" s="35"/>
      <c r="J1" s="35"/>
      <c r="K1" s="35"/>
      <c r="U1" s="14"/>
    </row>
    <row r="2" spans="1:21" ht="37.5" customHeight="1" thickBot="1" x14ac:dyDescent="0.25">
      <c r="A2" s="33"/>
      <c r="B2" s="24"/>
      <c r="C2" s="24" t="s">
        <v>22</v>
      </c>
      <c r="E2" s="25"/>
      <c r="F2" s="53" t="s">
        <v>24</v>
      </c>
      <c r="G2" s="36"/>
      <c r="H2" s="36"/>
      <c r="I2" s="36"/>
      <c r="J2" s="36"/>
      <c r="K2" s="36"/>
    </row>
    <row r="3" spans="1:21" ht="23.25" customHeight="1" x14ac:dyDescent="0.2">
      <c r="A3" s="33"/>
      <c r="B3" s="15"/>
      <c r="C3" s="15" t="s">
        <v>14</v>
      </c>
      <c r="E3" s="54" t="s">
        <v>25</v>
      </c>
      <c r="F3" s="15"/>
      <c r="G3" s="16"/>
      <c r="J3" s="15"/>
      <c r="K3" s="50"/>
    </row>
    <row r="4" spans="1:21" ht="17.25" customHeight="1" x14ac:dyDescent="0.2">
      <c r="A4" s="33"/>
      <c r="B4" s="15"/>
      <c r="C4" s="15" t="s">
        <v>15</v>
      </c>
      <c r="E4" s="55" t="s">
        <v>26</v>
      </c>
      <c r="F4" s="18"/>
      <c r="G4" s="16"/>
      <c r="J4" s="17"/>
      <c r="K4" s="50"/>
    </row>
    <row r="5" spans="1:21" ht="17.25" customHeight="1" x14ac:dyDescent="0.2">
      <c r="A5" s="33"/>
      <c r="B5" s="15"/>
      <c r="C5" s="15" t="s">
        <v>16</v>
      </c>
      <c r="E5" s="56" t="s">
        <v>27</v>
      </c>
      <c r="F5" s="20"/>
      <c r="G5" s="16"/>
      <c r="J5" s="17"/>
      <c r="K5" s="50"/>
    </row>
    <row r="6" spans="1:21" x14ac:dyDescent="0.2">
      <c r="A6" s="33"/>
      <c r="B6" s="21"/>
      <c r="C6" s="21"/>
      <c r="D6" s="21"/>
      <c r="E6" s="21"/>
      <c r="F6" s="21"/>
      <c r="G6" s="19"/>
      <c r="H6" s="22"/>
      <c r="I6" s="20"/>
      <c r="J6" s="20"/>
      <c r="K6" s="50"/>
    </row>
    <row r="7" spans="1:21" ht="15.75" customHeight="1" x14ac:dyDescent="0.2">
      <c r="A7" s="33"/>
      <c r="B7" s="23"/>
      <c r="C7" s="23" t="s">
        <v>18</v>
      </c>
      <c r="D7" s="23"/>
      <c r="E7" s="23"/>
      <c r="F7" s="23"/>
      <c r="G7" s="57" t="s">
        <v>28</v>
      </c>
      <c r="H7" s="57" t="s">
        <v>29</v>
      </c>
      <c r="I7" s="23"/>
      <c r="J7" s="23"/>
      <c r="K7" s="50"/>
    </row>
    <row r="8" spans="1:21" ht="15.75" customHeight="1" x14ac:dyDescent="0.2">
      <c r="A8" s="33"/>
      <c r="B8" s="20"/>
      <c r="C8" s="20" t="s">
        <v>17</v>
      </c>
      <c r="E8" s="20"/>
      <c r="F8" s="20"/>
      <c r="G8" s="40">
        <f ca="1">TODAY()</f>
        <v>44259</v>
      </c>
      <c r="H8" s="39">
        <f ca="1">NOW()</f>
        <v>44259.558341782409</v>
      </c>
      <c r="I8" s="23"/>
      <c r="J8" s="23"/>
      <c r="K8" s="50"/>
    </row>
    <row r="9" spans="1:21" s="2" customFormat="1" ht="18" customHeight="1" x14ac:dyDescent="0.2">
      <c r="A9" s="33"/>
      <c r="B9" s="37" t="s">
        <v>20</v>
      </c>
      <c r="C9" s="38" t="s">
        <v>31</v>
      </c>
      <c r="D9" s="38" t="s">
        <v>32</v>
      </c>
      <c r="E9" s="38" t="s">
        <v>41</v>
      </c>
      <c r="F9" s="38" t="s">
        <v>51</v>
      </c>
      <c r="G9" s="38" t="s">
        <v>52</v>
      </c>
      <c r="H9" s="38" t="s">
        <v>59</v>
      </c>
      <c r="I9" s="38" t="s">
        <v>63</v>
      </c>
      <c r="J9" s="38" t="s">
        <v>70</v>
      </c>
      <c r="K9" s="51" t="s">
        <v>77</v>
      </c>
      <c r="L9" s="1"/>
      <c r="M9" s="1"/>
      <c r="N9" s="1"/>
      <c r="O9" s="1"/>
      <c r="P9" s="1"/>
      <c r="Q9" s="1"/>
      <c r="R9" s="1"/>
      <c r="S9" s="1"/>
      <c r="T9" s="1"/>
    </row>
    <row r="10" spans="1:21" s="3" customFormat="1" ht="13.5" customHeight="1" x14ac:dyDescent="0.2">
      <c r="A10" s="33"/>
      <c r="B10" s="41">
        <f>ROW(B10) - ROW($B$9)</f>
        <v>1</v>
      </c>
      <c r="C10" s="48">
        <v>8</v>
      </c>
      <c r="D10" s="45" t="s">
        <v>33</v>
      </c>
      <c r="E10" s="45" t="s">
        <v>42</v>
      </c>
      <c r="F10" s="45" t="s">
        <v>33</v>
      </c>
      <c r="G10" s="46" t="s">
        <v>53</v>
      </c>
      <c r="H10" s="46" t="s">
        <v>60</v>
      </c>
      <c r="I10" s="46" t="s">
        <v>64</v>
      </c>
      <c r="J10" s="46" t="s">
        <v>71</v>
      </c>
      <c r="K10" s="46" t="s">
        <v>78</v>
      </c>
      <c r="L10" s="1"/>
      <c r="M10" s="1"/>
      <c r="N10" s="1"/>
      <c r="O10" s="1"/>
      <c r="P10" s="1"/>
      <c r="Q10" s="1"/>
      <c r="R10" s="1"/>
      <c r="S10" s="1"/>
      <c r="T10" s="1"/>
    </row>
    <row r="11" spans="1:21" s="3" customFormat="1" ht="13.5" customHeight="1" x14ac:dyDescent="0.2">
      <c r="A11" s="33"/>
      <c r="B11" s="42">
        <f>ROW(B11) - ROW($B$9)</f>
        <v>2</v>
      </c>
      <c r="C11" s="49">
        <v>1</v>
      </c>
      <c r="D11" s="47" t="s">
        <v>34</v>
      </c>
      <c r="E11" s="47" t="s">
        <v>43</v>
      </c>
      <c r="F11" s="47"/>
      <c r="G11" s="47" t="s">
        <v>54</v>
      </c>
      <c r="H11" s="47" t="s">
        <v>60</v>
      </c>
      <c r="I11" s="47" t="s">
        <v>65</v>
      </c>
      <c r="J11" s="47" t="s">
        <v>72</v>
      </c>
      <c r="K11" s="47" t="s">
        <v>79</v>
      </c>
      <c r="L11" s="1"/>
      <c r="M11" s="1"/>
      <c r="N11" s="1"/>
      <c r="O11" s="1"/>
      <c r="P11" s="1"/>
      <c r="Q11" s="1"/>
      <c r="R11" s="1"/>
      <c r="S11" s="1"/>
      <c r="T11" s="1"/>
    </row>
    <row r="12" spans="1:21" s="3" customFormat="1" ht="13.5" customHeight="1" x14ac:dyDescent="0.2">
      <c r="A12" s="33"/>
      <c r="B12" s="41">
        <f>ROW(B12) - ROW($B$9)</f>
        <v>3</v>
      </c>
      <c r="C12" s="48">
        <v>31</v>
      </c>
      <c r="D12" s="45" t="s">
        <v>35</v>
      </c>
      <c r="E12" s="45" t="s">
        <v>44</v>
      </c>
      <c r="F12" s="45" t="s">
        <v>35</v>
      </c>
      <c r="G12" s="46" t="s">
        <v>55</v>
      </c>
      <c r="H12" s="46" t="s">
        <v>60</v>
      </c>
      <c r="I12" s="46" t="s">
        <v>66</v>
      </c>
      <c r="J12" s="46" t="s">
        <v>73</v>
      </c>
      <c r="K12" s="46" t="s">
        <v>80</v>
      </c>
      <c r="L12" s="1"/>
      <c r="M12" s="1"/>
      <c r="N12" s="1"/>
      <c r="O12" s="1"/>
      <c r="P12" s="1"/>
      <c r="Q12" s="1"/>
      <c r="R12" s="1"/>
      <c r="S12" s="1"/>
      <c r="T12" s="1"/>
    </row>
    <row r="13" spans="1:21" s="3" customFormat="1" ht="13.5" customHeight="1" x14ac:dyDescent="0.2">
      <c r="A13" s="33"/>
      <c r="B13" s="42">
        <f>ROW(B13) - ROW($B$9)</f>
        <v>4</v>
      </c>
      <c r="C13" s="49">
        <v>1</v>
      </c>
      <c r="D13" s="47" t="s">
        <v>36</v>
      </c>
      <c r="E13" s="47" t="s">
        <v>45</v>
      </c>
      <c r="F13" s="47" t="s">
        <v>36</v>
      </c>
      <c r="G13" s="47" t="s">
        <v>55</v>
      </c>
      <c r="H13" s="47" t="s">
        <v>60</v>
      </c>
      <c r="I13" s="47" t="s">
        <v>67</v>
      </c>
      <c r="J13" s="47" t="s">
        <v>74</v>
      </c>
      <c r="K13" s="47" t="s">
        <v>81</v>
      </c>
      <c r="L13" s="1"/>
      <c r="M13" s="1"/>
      <c r="N13" s="1"/>
      <c r="O13" s="1"/>
      <c r="P13" s="1"/>
      <c r="Q13" s="1"/>
      <c r="R13" s="1"/>
      <c r="S13" s="1"/>
      <c r="T13" s="1"/>
    </row>
    <row r="14" spans="1:21" s="3" customFormat="1" ht="13.5" customHeight="1" x14ac:dyDescent="0.2">
      <c r="A14" s="33"/>
      <c r="B14" s="41">
        <f>ROW(B14) - ROW($B$9)</f>
        <v>5</v>
      </c>
      <c r="C14" s="48">
        <v>59</v>
      </c>
      <c r="D14" s="45" t="s">
        <v>37</v>
      </c>
      <c r="E14" s="45" t="s">
        <v>46</v>
      </c>
      <c r="F14" s="45" t="s">
        <v>37</v>
      </c>
      <c r="G14" s="46" t="s">
        <v>55</v>
      </c>
      <c r="H14" s="46" t="s">
        <v>60</v>
      </c>
      <c r="I14" s="46" t="s">
        <v>68</v>
      </c>
      <c r="J14" s="46" t="s">
        <v>74</v>
      </c>
      <c r="K14" s="46" t="s">
        <v>82</v>
      </c>
      <c r="L14" s="1"/>
      <c r="M14" s="1"/>
      <c r="N14" s="1"/>
      <c r="O14" s="1"/>
      <c r="P14" s="1"/>
      <c r="Q14" s="1"/>
      <c r="R14" s="1"/>
      <c r="S14" s="1"/>
      <c r="T14" s="1"/>
    </row>
    <row r="15" spans="1:21" s="3" customFormat="1" ht="13.5" customHeight="1" x14ac:dyDescent="0.2">
      <c r="A15" s="33"/>
      <c r="B15" s="42">
        <f>ROW(B15) - ROW($B$9)</f>
        <v>6</v>
      </c>
      <c r="C15" s="49">
        <v>30</v>
      </c>
      <c r="D15" s="47" t="s">
        <v>35</v>
      </c>
      <c r="E15" s="47" t="s">
        <v>47</v>
      </c>
      <c r="F15" s="47" t="s">
        <v>35</v>
      </c>
      <c r="G15" s="47" t="s">
        <v>55</v>
      </c>
      <c r="H15" s="47" t="s">
        <v>60</v>
      </c>
      <c r="I15" s="47" t="s">
        <v>66</v>
      </c>
      <c r="J15" s="47" t="s">
        <v>73</v>
      </c>
      <c r="K15" s="47" t="s">
        <v>80</v>
      </c>
      <c r="L15" s="1"/>
      <c r="M15" s="1"/>
      <c r="N15" s="1"/>
      <c r="O15" s="1"/>
      <c r="P15" s="1"/>
      <c r="Q15" s="1"/>
      <c r="R15" s="1"/>
      <c r="S15" s="1"/>
      <c r="T15" s="1"/>
    </row>
    <row r="16" spans="1:21" s="3" customFormat="1" ht="13.5" customHeight="1" x14ac:dyDescent="0.2">
      <c r="A16" s="33"/>
      <c r="B16" s="41">
        <f>ROW(B16) - ROW($B$9)</f>
        <v>7</v>
      </c>
      <c r="C16" s="48">
        <v>8</v>
      </c>
      <c r="D16" s="45" t="s">
        <v>38</v>
      </c>
      <c r="E16" s="45" t="s">
        <v>48</v>
      </c>
      <c r="F16" s="45"/>
      <c r="G16" s="46" t="s">
        <v>56</v>
      </c>
      <c r="H16" s="46" t="s">
        <v>61</v>
      </c>
      <c r="I16" s="46" t="s">
        <v>69</v>
      </c>
      <c r="J16" s="46" t="s">
        <v>75</v>
      </c>
      <c r="K16" s="46" t="s">
        <v>38</v>
      </c>
      <c r="L16" s="1"/>
      <c r="M16" s="1"/>
      <c r="N16" s="1"/>
      <c r="O16" s="1"/>
      <c r="P16" s="1"/>
      <c r="Q16" s="1"/>
      <c r="R16" s="1"/>
      <c r="S16" s="1"/>
      <c r="T16" s="1"/>
    </row>
    <row r="17" spans="1:20" s="3" customFormat="1" ht="13.5" customHeight="1" x14ac:dyDescent="0.2">
      <c r="A17" s="33"/>
      <c r="B17" s="42">
        <f>ROW(B17) - ROW($B$9)</f>
        <v>8</v>
      </c>
      <c r="C17" s="49">
        <v>1</v>
      </c>
      <c r="D17" s="47" t="s">
        <v>39</v>
      </c>
      <c r="E17" s="47" t="s">
        <v>49</v>
      </c>
      <c r="F17" s="47"/>
      <c r="G17" s="47" t="s">
        <v>57</v>
      </c>
      <c r="H17" s="47" t="s">
        <v>62</v>
      </c>
      <c r="I17" s="47"/>
      <c r="J17" s="47" t="s">
        <v>76</v>
      </c>
      <c r="K17" s="47" t="s">
        <v>39</v>
      </c>
      <c r="L17" s="1"/>
      <c r="M17" s="1"/>
      <c r="N17" s="1"/>
      <c r="O17" s="1"/>
      <c r="P17" s="1"/>
      <c r="Q17" s="1"/>
      <c r="R17" s="1"/>
      <c r="S17" s="1"/>
      <c r="T17" s="1"/>
    </row>
    <row r="18" spans="1:20" s="3" customFormat="1" ht="13.5" customHeight="1" x14ac:dyDescent="0.2">
      <c r="A18" s="33"/>
      <c r="B18" s="41">
        <f>ROW(B18) - ROW($B$9)</f>
        <v>9</v>
      </c>
      <c r="C18" s="48">
        <v>1</v>
      </c>
      <c r="D18" s="45" t="s">
        <v>40</v>
      </c>
      <c r="E18" s="45" t="s">
        <v>50</v>
      </c>
      <c r="F18" s="45"/>
      <c r="G18" s="46" t="s">
        <v>58</v>
      </c>
      <c r="H18" s="46" t="s">
        <v>62</v>
      </c>
      <c r="I18" s="46"/>
      <c r="J18" s="46" t="s">
        <v>76</v>
      </c>
      <c r="K18" s="46" t="s">
        <v>40</v>
      </c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33"/>
      <c r="B19" s="44" t="s">
        <v>23</v>
      </c>
      <c r="C19" s="58" t="s">
        <v>30</v>
      </c>
      <c r="D19" s="43"/>
      <c r="E19" s="31"/>
      <c r="F19" s="30"/>
      <c r="G19" s="29"/>
      <c r="H19" s="5" t="s">
        <v>19</v>
      </c>
      <c r="K19" s="52"/>
    </row>
    <row r="20" spans="1:20" x14ac:dyDescent="0.2">
      <c r="A20" s="33"/>
      <c r="B20" s="8"/>
      <c r="C20" s="8"/>
      <c r="D20" s="8"/>
      <c r="E20" s="8"/>
      <c r="F20" s="7"/>
      <c r="G20" s="9"/>
      <c r="H20" s="6"/>
      <c r="I20" s="6"/>
      <c r="J20" s="6"/>
      <c r="K20" s="50"/>
    </row>
    <row r="21" spans="1:20" x14ac:dyDescent="0.2">
      <c r="A21" s="33"/>
      <c r="B21" s="8"/>
      <c r="C21" s="8"/>
      <c r="D21" s="8"/>
      <c r="E21" s="8"/>
      <c r="F21" s="8"/>
      <c r="G21" s="10"/>
      <c r="H21" s="7"/>
      <c r="I21" s="7"/>
      <c r="J21" s="7"/>
      <c r="K21" s="50"/>
    </row>
    <row r="22" spans="1:20" x14ac:dyDescent="0.2">
      <c r="A22" s="33"/>
      <c r="B22" s="8"/>
      <c r="C22" s="8"/>
      <c r="D22" s="8"/>
      <c r="E22" s="8"/>
      <c r="F22" s="8"/>
      <c r="G22" s="10"/>
      <c r="H22" s="7"/>
      <c r="I22" s="7"/>
      <c r="J22" s="7"/>
      <c r="K22" s="50" t="s">
        <v>21</v>
      </c>
    </row>
    <row r="23" spans="1:20" ht="13.5" thickBot="1" x14ac:dyDescent="0.25">
      <c r="A23" s="33"/>
      <c r="B23" s="28"/>
      <c r="C23" s="13"/>
      <c r="D23" s="13"/>
      <c r="E23" s="13"/>
      <c r="F23" s="13"/>
      <c r="G23" s="11"/>
      <c r="H23" s="12"/>
      <c r="I23" s="12"/>
      <c r="J23" s="12"/>
      <c r="K23" s="11"/>
    </row>
    <row r="25" spans="1:20" x14ac:dyDescent="0.2">
      <c r="D25" s="1"/>
      <c r="E25" s="1"/>
      <c r="F25" s="1"/>
      <c r="G25" s="1"/>
    </row>
    <row r="26" spans="1:20" x14ac:dyDescent="0.2">
      <c r="D26" s="1"/>
      <c r="E26" s="1"/>
      <c r="F26" s="1"/>
      <c r="G26" s="1"/>
    </row>
    <row r="27" spans="1:20" x14ac:dyDescent="0.2">
      <c r="D27" s="1"/>
      <c r="E27" s="1"/>
      <c r="F27" s="1"/>
      <c r="G27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27" t="s">
        <v>0</v>
      </c>
      <c r="B1" s="59" t="s">
        <v>83</v>
      </c>
    </row>
    <row r="2" spans="1:2" x14ac:dyDescent="0.2">
      <c r="A2" s="26" t="s">
        <v>1</v>
      </c>
      <c r="B2" s="60" t="s">
        <v>26</v>
      </c>
    </row>
    <row r="3" spans="1:2" x14ac:dyDescent="0.2">
      <c r="A3" s="27" t="s">
        <v>2</v>
      </c>
      <c r="B3" s="61" t="s">
        <v>27</v>
      </c>
    </row>
    <row r="4" spans="1:2" x14ac:dyDescent="0.2">
      <c r="A4" s="26" t="s">
        <v>3</v>
      </c>
      <c r="B4" s="60" t="s">
        <v>25</v>
      </c>
    </row>
    <row r="5" spans="1:2" x14ac:dyDescent="0.2">
      <c r="A5" s="27" t="s">
        <v>4</v>
      </c>
      <c r="B5" s="61" t="s">
        <v>84</v>
      </c>
    </row>
    <row r="6" spans="1:2" x14ac:dyDescent="0.2">
      <c r="A6" s="26" t="s">
        <v>5</v>
      </c>
      <c r="B6" s="60" t="s">
        <v>24</v>
      </c>
    </row>
    <row r="7" spans="1:2" x14ac:dyDescent="0.2">
      <c r="A7" s="27" t="s">
        <v>6</v>
      </c>
      <c r="B7" s="61" t="s">
        <v>30</v>
      </c>
    </row>
    <row r="8" spans="1:2" x14ac:dyDescent="0.2">
      <c r="A8" s="26" t="s">
        <v>7</v>
      </c>
      <c r="B8" s="60" t="s">
        <v>29</v>
      </c>
    </row>
    <row r="9" spans="1:2" x14ac:dyDescent="0.2">
      <c r="A9" s="27" t="s">
        <v>8</v>
      </c>
      <c r="B9" s="61" t="s">
        <v>28</v>
      </c>
    </row>
    <row r="10" spans="1:2" x14ac:dyDescent="0.2">
      <c r="A10" s="26" t="s">
        <v>9</v>
      </c>
      <c r="B10" s="60" t="s">
        <v>85</v>
      </c>
    </row>
    <row r="11" spans="1:2" x14ac:dyDescent="0.2">
      <c r="A11" s="27" t="s">
        <v>10</v>
      </c>
      <c r="B11" s="61" t="s">
        <v>86</v>
      </c>
    </row>
    <row r="12" spans="1:2" x14ac:dyDescent="0.2">
      <c r="A12" s="26" t="s">
        <v>11</v>
      </c>
      <c r="B12" s="60" t="s">
        <v>87</v>
      </c>
    </row>
    <row r="13" spans="1:2" x14ac:dyDescent="0.2">
      <c r="A13" s="27" t="s">
        <v>12</v>
      </c>
      <c r="B13" s="61" t="s">
        <v>88</v>
      </c>
    </row>
    <row r="14" spans="1:2" x14ac:dyDescent="0.2">
      <c r="A14" s="26" t="s">
        <v>13</v>
      </c>
      <c r="B14" s="60" t="s">
        <v>89</v>
      </c>
    </row>
  </sheetData>
  <phoneticPr fontId="15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Thilo Wendt</dc:creator>
  <cp:lastModifiedBy>Thilo Wendt</cp:lastModifiedBy>
  <cp:lastPrinted>2005-05-16T01:11:50Z</cp:lastPrinted>
  <dcterms:created xsi:type="dcterms:W3CDTF">2002-11-05T15:28:02Z</dcterms:created>
  <dcterms:modified xsi:type="dcterms:W3CDTF">2021-03-04T12:24:01Z</dcterms:modified>
</cp:coreProperties>
</file>