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Thilo Wendt\Documents\altium\ultrazohm_digital_voltage_3u_1vxx\Project Outputs for ultrazohm_digital_voltage_3U_1vxx\3v00\BOM\"/>
    </mc:Choice>
  </mc:AlternateContent>
  <xr:revisionPtr revIDLastSave="0" documentId="8_{EDC5FA7B-6D98-4C62-8295-8BCEF04D8633}" xr6:coauthVersionLast="45" xr6:coauthVersionMax="45" xr10:uidLastSave="{00000000-0000-0000-0000-000000000000}"/>
  <bookViews>
    <workbookView xWindow="6405" yWindow="4215" windowWidth="21600" windowHeight="11385" xr2:uid="{00000000-000D-0000-FFFF-FFFF00000000}"/>
  </bookViews>
  <sheets>
    <sheet name="Part List Report" sheetId="3" r:id="rId1"/>
    <sheet name="Project Information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1" i="3" l="1"/>
  <c r="B20" i="3"/>
  <c r="B19" i="3"/>
  <c r="B18" i="3"/>
  <c r="B17" i="3"/>
  <c r="B16" i="3"/>
  <c r="B15" i="3"/>
  <c r="B14" i="3"/>
  <c r="B13" i="3"/>
  <c r="B12" i="3"/>
  <c r="B11" i="3" l="1"/>
  <c r="B10" i="3"/>
  <c r="G8" i="3"/>
  <c r="H8" i="3"/>
</calcChain>
</file>

<file path=xl/sharedStrings.xml><?xml version="1.0" encoding="utf-8"?>
<sst xmlns="http://schemas.openxmlformats.org/spreadsheetml/2006/main" count="144" uniqueCount="112">
  <si>
    <t>Project Full Path</t>
  </si>
  <si>
    <t>Project Filename</t>
  </si>
  <si>
    <t>Variant Name</t>
  </si>
  <si>
    <t>Data-Source Filename</t>
  </si>
  <si>
    <t>Data-Source Full Path</t>
  </si>
  <si>
    <t>Title</t>
  </si>
  <si>
    <t>Total Quantity</t>
  </si>
  <si>
    <t>Report Time</t>
  </si>
  <si>
    <t>Report Date</t>
  </si>
  <si>
    <t>Report Date &amp; Tine</t>
  </si>
  <si>
    <t>Output Name</t>
  </si>
  <si>
    <t>Output Type</t>
  </si>
  <si>
    <t>Output Generator Name</t>
  </si>
  <si>
    <t>Output Generator Description</t>
  </si>
  <si>
    <t>Source Data From:</t>
  </si>
  <si>
    <t>Project:</t>
  </si>
  <si>
    <t>Variant:</t>
  </si>
  <si>
    <t>Print Date:</t>
  </si>
  <si>
    <t>Report Date:</t>
  </si>
  <si>
    <t>Notes</t>
  </si>
  <si>
    <t>#</t>
  </si>
  <si>
    <t xml:space="preserve"> </t>
  </si>
  <si>
    <t>Bill of Material</t>
  </si>
  <si>
    <t>Total:</t>
  </si>
  <si>
    <t>BOM_UltraZohm_Digital_Voltage_5V_IO for Variant [3V3_to_5V_IO] of BOM Document [UltraZohm_DigitalVoltage_ActiveBom.BomDoc]</t>
  </si>
  <si>
    <t>UltraZohm_DigitalVoltage_ActiveBom.BomDoc</t>
  </si>
  <si>
    <t>ultrazohm_digital_voltage_3U_1vxx.PrjPCB</t>
  </si>
  <si>
    <t>3V3_to_5V_IO</t>
  </si>
  <si>
    <t>04.03.2021</t>
  </si>
  <si>
    <t>13:24</t>
  </si>
  <si>
    <t>150</t>
  </si>
  <si>
    <t>Quantity</t>
  </si>
  <si>
    <t>Name</t>
  </si>
  <si>
    <t>0.1 µF</t>
  </si>
  <si>
    <t>#NAME?</t>
  </si>
  <si>
    <t>0R</t>
  </si>
  <si>
    <t>470R</t>
  </si>
  <si>
    <t>5k6</t>
  </si>
  <si>
    <t>47R</t>
  </si>
  <si>
    <t>39R</t>
  </si>
  <si>
    <t>DSHP04TS-S</t>
  </si>
  <si>
    <t>74AHC1G14GW,125</t>
  </si>
  <si>
    <t>SN74LVCH16T245DGGR</t>
  </si>
  <si>
    <t>IPL1-115-01-L-D-RA-K</t>
  </si>
  <si>
    <t>IPL1-120-01-L-D-RA-K</t>
  </si>
  <si>
    <t>Designator</t>
  </si>
  <si>
    <t>C1A, C1B, C2A, C2B, C3A, C3B, C4A, C4B</t>
  </si>
  <si>
    <t>D1</t>
  </si>
  <si>
    <t>R1, R3A, R3B, R3C, R3D, R3E, R4A, R4B, R4C, R4D, R4E, R5A, R5B, R5C, R5D, R5E, R6A, R6B, R6C, R6D, R6E, R7A, R7B, R7C, R7D, R7E, R8A, R8B, R8C, R8D, R8E, R21, R22, R23, R24, R25, R26, R27, R28, R29, R30, R31, R32, R33, R34, R35, R36, R37, R38, R39, R40, R41, R42, R43, R44, R45, R46, R47, R48, R49, R50</t>
  </si>
  <si>
    <t>R9, R10</t>
  </si>
  <si>
    <t>R16A, R16B, R17A, R17B, R18A, R18B, R19A, R19B, R20, R141, R142, R143</t>
  </si>
  <si>
    <t>R82, R84, R85, R87, R90, R92, R93, R95, R98, R100, R101, R103, R106, R108, R109, R111, R114, R116, R117, R119, R122, R124, R125, R127, R130, R132, R133, R135, R138, R139</t>
  </si>
  <si>
    <t>R144, R145, R146, R147, R148, R149, R150, R151, R152, R153, R154, R155, R156, R157, R158, R159, R160, R161, R162, R163, R164, R165, R166, R167, R168, R169, R170, R171, R172, R173</t>
  </si>
  <si>
    <t>SW1</t>
  </si>
  <si>
    <t>U1</t>
  </si>
  <si>
    <t>U6A, U6B</t>
  </si>
  <si>
    <t>X2</t>
  </si>
  <si>
    <t>X3</t>
  </si>
  <si>
    <t>Value</t>
  </si>
  <si>
    <t>5.5 V</t>
  </si>
  <si>
    <t>1.65 - 5.5 V</t>
  </si>
  <si>
    <t>Footprint</t>
  </si>
  <si>
    <t>C_0603</t>
  </si>
  <si>
    <t>WL-SMCW_0603</t>
  </si>
  <si>
    <t>RES 0603_1608, RES 0603_1608 NO TO</t>
  </si>
  <si>
    <t>RES 0603_1608</t>
  </si>
  <si>
    <t>416131160804</t>
  </si>
  <si>
    <t>SOT353-1_N</t>
  </si>
  <si>
    <t>TI_DGG-R-PDSO-G48N</t>
  </si>
  <si>
    <t>IPL1-115-01-XX-D-RA</t>
  </si>
  <si>
    <t>IPL1-120-01-XX-D-RA</t>
  </si>
  <si>
    <t>Device Package</t>
  </si>
  <si>
    <t>0603</t>
  </si>
  <si>
    <t>DIP</t>
  </si>
  <si>
    <t>TSSOP-5</t>
  </si>
  <si>
    <t>TSSOP-48</t>
  </si>
  <si>
    <t>Connector</t>
  </si>
  <si>
    <t>LCSC Part Number</t>
  </si>
  <si>
    <t>C14663</t>
  </si>
  <si>
    <t>C72041</t>
  </si>
  <si>
    <t>C21189</t>
  </si>
  <si>
    <t>C23179</t>
  </si>
  <si>
    <t>C23189</t>
  </si>
  <si>
    <t>C23182</t>
  </si>
  <si>
    <t>C23154</t>
  </si>
  <si>
    <t>C319050</t>
  </si>
  <si>
    <t>C282410</t>
  </si>
  <si>
    <t>C352975</t>
  </si>
  <si>
    <t>Manufacturer</t>
  </si>
  <si>
    <t>KEMET</t>
  </si>
  <si>
    <t>Everlight Elec</t>
  </si>
  <si>
    <t>YAGEO</t>
  </si>
  <si>
    <t>KOA Speer</t>
  </si>
  <si>
    <t>XKB Connectivity</t>
  </si>
  <si>
    <t>Nexperia</t>
  </si>
  <si>
    <t>Texas Instruments</t>
  </si>
  <si>
    <t>SAMTEC</t>
  </si>
  <si>
    <t>Manufacturer Part Number</t>
  </si>
  <si>
    <t>C0603X104K5RAC7411</t>
  </si>
  <si>
    <t>19-217/BHC-ZL1M2RY/3T</t>
  </si>
  <si>
    <t>RC0603JR-070RL</t>
  </si>
  <si>
    <t>RK73B1JTTD471J</t>
  </si>
  <si>
    <t>RK73B1JTTDD562J</t>
  </si>
  <si>
    <t>RK73B1JTTDD470J</t>
  </si>
  <si>
    <t>RK73B1JTTDD390J</t>
  </si>
  <si>
    <t>C:\Users\Thilo Wendt\Documents\altium\ultrazohm_digital_voltage_3u_1vxx\ultrazohm_digital_voltage_3U_1vxx.PrjPCB</t>
  </si>
  <si>
    <t>C:\Users\Thilo Wendt\Documents\altium\ultrazohm_digital_voltage_3u_1vxx\UltraZohm_DigitalVoltage_ActiveBom.BomDoc</t>
  </si>
  <si>
    <t>04.03.2021 13:24</t>
  </si>
  <si>
    <t>BOM_UltraZohm_Digital_Voltage_5V_IO</t>
  </si>
  <si>
    <t>BOM_PartType</t>
  </si>
  <si>
    <t>BOM</t>
  </si>
  <si>
    <t>Bill of Materials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</si>
</sst>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:ss;@"/>
  </numFmts>
  <fonts count="16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8"/>
      <color indexed="13"/>
      <name val="Arial"/>
      <family val="2"/>
    </font>
    <font>
      <sz val="10"/>
      <color indexed="13"/>
      <name val="Arial"/>
      <family val="2"/>
    </font>
    <font>
      <b/>
      <sz val="12"/>
      <color indexed="13"/>
      <name val="Arial"/>
      <family val="2"/>
    </font>
    <font>
      <sz val="8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24"/>
      <color indexed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0053A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2"/>
      </top>
      <bottom/>
      <diagonal/>
    </border>
    <border>
      <left/>
      <right style="medium">
        <color indexed="64"/>
      </right>
      <top style="medium">
        <color indexed="62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Alignment="1">
      <alignment vertical="top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14" fillId="0" borderId="0" xfId="0" applyNumberFormat="1" applyFont="1" applyFill="1" applyBorder="1" applyAlignment="1" applyProtection="1">
      <alignment horizontal="left" vertical="top"/>
      <protection locked="0"/>
    </xf>
    <xf numFmtId="0" fontId="1" fillId="0" borderId="1" xfId="0" applyNumberFormat="1" applyFont="1" applyFill="1" applyBorder="1" applyAlignment="1" applyProtection="1">
      <alignment horizontal="left" vertical="top"/>
      <protection locked="0"/>
    </xf>
    <xf numFmtId="0" fontId="1" fillId="0" borderId="0" xfId="0" applyNumberFormat="1" applyFont="1" applyFill="1" applyBorder="1" applyAlignment="1" applyProtection="1">
      <alignment horizontal="left" vertical="top"/>
      <protection locked="0"/>
    </xf>
    <xf numFmtId="0" fontId="1" fillId="0" borderId="0" xfId="0" applyNumberFormat="1" applyFont="1" applyFill="1" applyBorder="1" applyAlignment="1" applyProtection="1">
      <alignment vertical="top"/>
      <protection locked="0"/>
    </xf>
    <xf numFmtId="0" fontId="1" fillId="0" borderId="2" xfId="0" applyNumberFormat="1" applyFont="1" applyFill="1" applyBorder="1" applyAlignment="1" applyProtection="1">
      <alignment horizontal="left" vertical="top"/>
      <protection locked="0"/>
    </xf>
    <xf numFmtId="0" fontId="1" fillId="0" borderId="3" xfId="0" applyNumberFormat="1" applyFont="1" applyFill="1" applyBorder="1" applyAlignment="1" applyProtection="1">
      <alignment horizontal="left" vertical="top"/>
      <protection locked="0"/>
    </xf>
    <xf numFmtId="0" fontId="1" fillId="0" borderId="4" xfId="0" applyNumberFormat="1" applyFont="1" applyFill="1" applyBorder="1" applyAlignment="1" applyProtection="1">
      <alignment horizontal="left" vertical="top"/>
      <protection locked="0"/>
    </xf>
    <xf numFmtId="0" fontId="1" fillId="0" borderId="5" xfId="0" applyNumberFormat="1" applyFont="1" applyFill="1" applyBorder="1" applyAlignment="1" applyProtection="1">
      <alignment horizontal="left" vertical="top"/>
      <protection locked="0"/>
    </xf>
    <xf numFmtId="0" fontId="1" fillId="0" borderId="5" xfId="0" applyNumberFormat="1" applyFont="1" applyFill="1" applyBorder="1" applyAlignment="1" applyProtection="1">
      <alignment vertical="top"/>
      <protection locked="0"/>
    </xf>
    <xf numFmtId="0" fontId="0" fillId="0" borderId="7" xfId="0" applyBorder="1" applyAlignment="1">
      <alignment vertical="top"/>
    </xf>
    <xf numFmtId="0" fontId="8" fillId="3" borderId="0" xfId="0" applyFont="1" applyFill="1" applyBorder="1" applyAlignment="1"/>
    <xf numFmtId="0" fontId="9" fillId="3" borderId="0" xfId="0" applyFont="1" applyFill="1" applyBorder="1" applyAlignment="1">
      <alignment horizontal="left"/>
    </xf>
    <xf numFmtId="0" fontId="9" fillId="3" borderId="0" xfId="0" applyFont="1" applyFill="1" applyBorder="1" applyAlignment="1"/>
    <xf numFmtId="0" fontId="9" fillId="3" borderId="8" xfId="0" applyFont="1" applyFill="1" applyBorder="1" applyAlignment="1"/>
    <xf numFmtId="0" fontId="8" fillId="3" borderId="9" xfId="0" applyFont="1" applyFill="1" applyBorder="1" applyAlignment="1">
      <alignment horizontal="left"/>
    </xf>
    <xf numFmtId="0" fontId="9" fillId="3" borderId="9" xfId="0" applyFont="1" applyFill="1" applyBorder="1" applyAlignment="1"/>
    <xf numFmtId="0" fontId="8" fillId="3" borderId="9" xfId="0" applyFont="1" applyFill="1" applyBorder="1" applyAlignment="1"/>
    <xf numFmtId="0" fontId="9" fillId="3" borderId="9" xfId="0" applyFont="1" applyFill="1" applyBorder="1" applyAlignment="1">
      <alignment horizontal="left"/>
    </xf>
    <xf numFmtId="0" fontId="10" fillId="3" borderId="0" xfId="0" applyFont="1" applyFill="1" applyBorder="1" applyAlignment="1"/>
    <xf numFmtId="0" fontId="11" fillId="3" borderId="10" xfId="0" applyFont="1" applyFill="1" applyBorder="1" applyAlignment="1">
      <alignment vertical="center"/>
    </xf>
    <xf numFmtId="0" fontId="11" fillId="3" borderId="11" xfId="0" applyFont="1" applyFill="1" applyBorder="1" applyAlignment="1">
      <alignment vertical="center"/>
    </xf>
    <xf numFmtId="0" fontId="12" fillId="2" borderId="0" xfId="0" applyFont="1" applyFill="1" applyBorder="1" applyAlignment="1">
      <alignment horizontal="left" vertical="center"/>
    </xf>
    <xf numFmtId="0" fontId="12" fillId="4" borderId="0" xfId="0" applyFont="1" applyFill="1" applyBorder="1" applyAlignment="1">
      <alignment horizontal="left" vertical="center"/>
    </xf>
    <xf numFmtId="0" fontId="1" fillId="0" borderId="13" xfId="0" applyNumberFormat="1" applyFont="1" applyFill="1" applyBorder="1" applyAlignment="1" applyProtection="1">
      <alignment vertical="top"/>
      <protection locked="0"/>
    </xf>
    <xf numFmtId="0" fontId="1" fillId="0" borderId="14" xfId="0" applyNumberFormat="1" applyFont="1" applyFill="1" applyBorder="1" applyAlignment="1" applyProtection="1">
      <alignment horizontal="left" vertical="top"/>
      <protection locked="0"/>
    </xf>
    <xf numFmtId="0" fontId="1" fillId="0" borderId="8" xfId="0" applyNumberFormat="1" applyFont="1" applyFill="1" applyBorder="1" applyAlignment="1" applyProtection="1">
      <alignment horizontal="left" vertical="top"/>
      <protection locked="0"/>
    </xf>
    <xf numFmtId="0" fontId="14" fillId="0" borderId="9" xfId="0" applyNumberFormat="1" applyFont="1" applyFill="1" applyBorder="1" applyAlignment="1" applyProtection="1">
      <alignment horizontal="left" vertical="top"/>
      <protection locked="0"/>
    </xf>
    <xf numFmtId="0" fontId="5" fillId="5" borderId="0" xfId="0" applyFont="1" applyFill="1" applyBorder="1" applyAlignment="1"/>
    <xf numFmtId="0" fontId="5" fillId="5" borderId="6" xfId="0" applyFont="1" applyFill="1" applyBorder="1" applyAlignment="1"/>
    <xf numFmtId="0" fontId="5" fillId="5" borderId="15" xfId="0" applyFont="1" applyFill="1" applyBorder="1" applyAlignment="1"/>
    <xf numFmtId="0" fontId="5" fillId="5" borderId="1" xfId="0" applyFont="1" applyFill="1" applyBorder="1" applyAlignment="1"/>
    <xf numFmtId="0" fontId="6" fillId="5" borderId="5" xfId="0" applyFont="1" applyFill="1" applyBorder="1" applyAlignment="1">
      <alignment vertical="center"/>
    </xf>
    <xf numFmtId="0" fontId="4" fillId="5" borderId="16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164" fontId="9" fillId="3" borderId="9" xfId="0" applyNumberFormat="1" applyFont="1" applyFill="1" applyBorder="1" applyAlignment="1">
      <alignment horizontal="left"/>
    </xf>
    <xf numFmtId="14" fontId="9" fillId="3" borderId="9" xfId="0" applyNumberFormat="1" applyFont="1" applyFill="1" applyBorder="1" applyAlignment="1">
      <alignment horizontal="left"/>
    </xf>
    <xf numFmtId="0" fontId="7" fillId="6" borderId="18" xfId="0" applyFont="1" applyFill="1" applyBorder="1" applyAlignment="1">
      <alignment vertical="top" wrapText="1"/>
    </xf>
    <xf numFmtId="0" fontId="7" fillId="7" borderId="19" xfId="0" applyFont="1" applyFill="1" applyBorder="1" applyAlignment="1">
      <alignment vertical="top" wrapText="1"/>
    </xf>
    <xf numFmtId="0" fontId="2" fillId="0" borderId="8" xfId="0" applyNumberFormat="1" applyFont="1" applyFill="1" applyBorder="1" applyAlignment="1" applyProtection="1">
      <alignment vertical="top"/>
      <protection locked="0"/>
    </xf>
    <xf numFmtId="0" fontId="2" fillId="0" borderId="16" xfId="0" applyNumberFormat="1" applyFont="1" applyFill="1" applyBorder="1" applyAlignment="1" applyProtection="1">
      <alignment vertical="top"/>
      <protection locked="0"/>
    </xf>
    <xf numFmtId="49" fontId="7" fillId="6" borderId="20" xfId="0" applyNumberFormat="1" applyFont="1" applyFill="1" applyBorder="1" applyAlignment="1">
      <alignment vertical="top" wrapText="1"/>
    </xf>
    <xf numFmtId="49" fontId="7" fillId="6" borderId="21" xfId="0" applyNumberFormat="1" applyFont="1" applyFill="1" applyBorder="1" applyAlignment="1">
      <alignment vertical="top" wrapText="1"/>
    </xf>
    <xf numFmtId="49" fontId="7" fillId="7" borderId="22" xfId="0" applyNumberFormat="1" applyFont="1" applyFill="1" applyBorder="1" applyAlignment="1">
      <alignment vertical="top" wrapText="1"/>
    </xf>
    <xf numFmtId="49" fontId="7" fillId="6" borderId="3" xfId="0" applyNumberFormat="1" applyFont="1" applyFill="1" applyBorder="1" applyAlignment="1">
      <alignment vertical="top" wrapText="1"/>
    </xf>
    <xf numFmtId="49" fontId="7" fillId="7" borderId="23" xfId="0" applyNumberFormat="1" applyFont="1" applyFill="1" applyBorder="1" applyAlignment="1">
      <alignment vertical="top" wrapText="1"/>
    </xf>
    <xf numFmtId="0" fontId="0" fillId="0" borderId="3" xfId="0" applyBorder="1" applyAlignment="1">
      <alignment vertical="top"/>
    </xf>
    <xf numFmtId="0" fontId="4" fillId="5" borderId="24" xfId="0" applyFont="1" applyFill="1" applyBorder="1" applyAlignment="1">
      <alignment horizontal="center" vertical="center"/>
    </xf>
    <xf numFmtId="0" fontId="0" fillId="0" borderId="14" xfId="0" applyBorder="1" applyAlignment="1">
      <alignment vertical="top"/>
    </xf>
    <xf numFmtId="0" fontId="6" fillId="5" borderId="5" xfId="0" quotePrefix="1" applyFont="1" applyFill="1" applyBorder="1" applyAlignment="1">
      <alignment vertical="center"/>
    </xf>
    <xf numFmtId="0" fontId="8" fillId="3" borderId="0" xfId="0" quotePrefix="1" applyFont="1" applyFill="1" applyBorder="1" applyAlignment="1">
      <alignment horizontal="left"/>
    </xf>
    <xf numFmtId="0" fontId="8" fillId="3" borderId="8" xfId="0" quotePrefix="1" applyFont="1" applyFill="1" applyBorder="1" applyAlignment="1">
      <alignment horizontal="left"/>
    </xf>
    <xf numFmtId="0" fontId="8" fillId="3" borderId="9" xfId="0" quotePrefix="1" applyFont="1" applyFill="1" applyBorder="1" applyAlignment="1">
      <alignment horizontal="left"/>
    </xf>
    <xf numFmtId="0" fontId="9" fillId="3" borderId="1" xfId="0" quotePrefix="1" applyFont="1" applyFill="1" applyBorder="1" applyAlignment="1">
      <alignment horizontal="left"/>
    </xf>
    <xf numFmtId="0" fontId="2" fillId="0" borderId="14" xfId="0" quotePrefix="1" applyNumberFormat="1" applyFont="1" applyFill="1" applyBorder="1" applyAlignment="1" applyProtection="1">
      <alignment vertical="top"/>
      <protection locked="0"/>
    </xf>
    <xf numFmtId="0" fontId="13" fillId="4" borderId="12" xfId="0" quotePrefix="1" applyFont="1" applyFill="1" applyBorder="1" applyAlignment="1">
      <alignment horizontal="left" vertical="center"/>
    </xf>
    <xf numFmtId="0" fontId="13" fillId="2" borderId="0" xfId="0" quotePrefix="1" applyFont="1" applyFill="1" applyBorder="1" applyAlignment="1">
      <alignment horizontal="left" vertical="center"/>
    </xf>
    <xf numFmtId="0" fontId="13" fillId="4" borderId="0" xfId="0" quotePrefix="1" applyFont="1" applyFill="1" applyBorder="1" applyAlignment="1">
      <alignment horizontal="left" vertical="center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CE9D8"/>
      <rgbColor rgb="00000000"/>
      <rgbColor rgb="00ECE9D8"/>
      <rgbColor rgb="00000000"/>
      <rgbColor rgb="00FFFFFF"/>
      <rgbColor rgb="00000000"/>
      <rgbColor rgb="00FFFFFF"/>
      <rgbColor rgb="00000000"/>
      <rgbColor rgb="00ECE9D8"/>
      <rgbColor rgb="00000000"/>
      <rgbColor rgb="00F1EFE2"/>
      <rgbColor rgb="0000000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495300</xdr:colOff>
      <xdr:row>2</xdr:row>
      <xdr:rowOff>95250</xdr:rowOff>
    </xdr:from>
    <xdr:to>
      <xdr:col>10</xdr:col>
      <xdr:colOff>200025</xdr:colOff>
      <xdr:row>5</xdr:row>
      <xdr:rowOff>57150</xdr:rowOff>
    </xdr:to>
    <xdr:pic>
      <xdr:nvPicPr>
        <xdr:cNvPr id="1039" name="Grafik 1">
          <a:extLst>
            <a:ext uri="{FF2B5EF4-FFF2-40B4-BE49-F238E27FC236}">
              <a16:creationId xmlns:a16="http://schemas.microsoft.com/office/drawing/2014/main" id="{D4B1BE7B-16B1-403E-A899-8CF8C32C9C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76900" y="742950"/>
          <a:ext cx="489585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U30"/>
  <sheetViews>
    <sheetView showGridLines="0" tabSelected="1" zoomScaleNormal="100" workbookViewId="0">
      <selection activeCell="D15" sqref="D15"/>
    </sheetView>
  </sheetViews>
  <sheetFormatPr baseColWidth="10" defaultColWidth="9.140625" defaultRowHeight="12.75" x14ac:dyDescent="0.2"/>
  <cols>
    <col min="1" max="1" width="3.140625" style="1" customWidth="1"/>
    <col min="2" max="2" width="5.42578125" style="1" customWidth="1"/>
    <col min="3" max="3" width="17.140625" style="1" customWidth="1"/>
    <col min="4" max="4" width="15.85546875" style="4" bestFit="1" customWidth="1"/>
    <col min="5" max="5" width="26.42578125" style="4" bestFit="1" customWidth="1"/>
    <col min="6" max="6" width="12.42578125" style="4" bestFit="1" customWidth="1"/>
    <col min="7" max="7" width="15.42578125" style="4" bestFit="1" customWidth="1"/>
    <col min="8" max="8" width="20.28515625" style="1" bestFit="1" customWidth="1"/>
    <col min="9" max="9" width="22.85546875" style="1" bestFit="1" customWidth="1"/>
    <col min="10" max="10" width="19.28515625" style="1" bestFit="1" customWidth="1"/>
    <col min="11" max="11" width="30.5703125" style="1" bestFit="1" customWidth="1"/>
    <col min="12" max="19" width="13.140625" style="1" customWidth="1"/>
    <col min="20" max="20" width="17.85546875" style="1" customWidth="1"/>
    <col min="21" max="21" width="10" style="1" customWidth="1"/>
    <col min="22" max="16384" width="9.140625" style="1"/>
  </cols>
  <sheetData>
    <row r="1" spans="1:21" ht="13.5" thickBot="1" x14ac:dyDescent="0.25">
      <c r="A1" s="32"/>
      <c r="B1" s="32"/>
      <c r="C1" s="32"/>
      <c r="D1" s="34"/>
      <c r="E1" s="34"/>
      <c r="F1" s="35"/>
      <c r="G1" s="35"/>
      <c r="H1" s="35"/>
      <c r="I1" s="35"/>
      <c r="J1" s="35"/>
      <c r="K1" s="35"/>
      <c r="U1" s="14"/>
    </row>
    <row r="2" spans="1:21" ht="37.5" customHeight="1" thickBot="1" x14ac:dyDescent="0.25">
      <c r="A2" s="33"/>
      <c r="B2" s="24"/>
      <c r="C2" s="24" t="s">
        <v>22</v>
      </c>
      <c r="E2" s="25"/>
      <c r="F2" s="53" t="s">
        <v>24</v>
      </c>
      <c r="G2" s="36"/>
      <c r="H2" s="36"/>
      <c r="I2" s="36"/>
      <c r="J2" s="36"/>
      <c r="K2" s="36"/>
    </row>
    <row r="3" spans="1:21" ht="23.25" customHeight="1" x14ac:dyDescent="0.2">
      <c r="A3" s="33"/>
      <c r="B3" s="15"/>
      <c r="C3" s="15" t="s">
        <v>14</v>
      </c>
      <c r="E3" s="54" t="s">
        <v>25</v>
      </c>
      <c r="F3" s="15"/>
      <c r="G3" s="16"/>
      <c r="J3" s="15"/>
      <c r="K3" s="50"/>
    </row>
    <row r="4" spans="1:21" ht="17.25" customHeight="1" x14ac:dyDescent="0.2">
      <c r="A4" s="33"/>
      <c r="B4" s="15"/>
      <c r="C4" s="15" t="s">
        <v>15</v>
      </c>
      <c r="E4" s="55" t="s">
        <v>26</v>
      </c>
      <c r="F4" s="18"/>
      <c r="G4" s="16"/>
      <c r="J4" s="17"/>
      <c r="K4" s="50"/>
    </row>
    <row r="5" spans="1:21" ht="17.25" customHeight="1" x14ac:dyDescent="0.2">
      <c r="A5" s="33"/>
      <c r="B5" s="15"/>
      <c r="C5" s="15" t="s">
        <v>16</v>
      </c>
      <c r="E5" s="56" t="s">
        <v>27</v>
      </c>
      <c r="F5" s="20"/>
      <c r="G5" s="16"/>
      <c r="J5" s="17"/>
      <c r="K5" s="50"/>
    </row>
    <row r="6" spans="1:21" x14ac:dyDescent="0.2">
      <c r="A6" s="33"/>
      <c r="B6" s="21"/>
      <c r="C6" s="21"/>
      <c r="D6" s="21"/>
      <c r="E6" s="21"/>
      <c r="F6" s="21"/>
      <c r="G6" s="19"/>
      <c r="H6" s="22"/>
      <c r="I6" s="20"/>
      <c r="J6" s="20"/>
      <c r="K6" s="50"/>
    </row>
    <row r="7" spans="1:21" ht="15.75" customHeight="1" x14ac:dyDescent="0.2">
      <c r="A7" s="33"/>
      <c r="B7" s="23"/>
      <c r="C7" s="23" t="s">
        <v>18</v>
      </c>
      <c r="D7" s="23"/>
      <c r="E7" s="23"/>
      <c r="F7" s="23"/>
      <c r="G7" s="57" t="s">
        <v>28</v>
      </c>
      <c r="H7" s="57" t="s">
        <v>29</v>
      </c>
      <c r="I7" s="23"/>
      <c r="J7" s="23"/>
      <c r="K7" s="50"/>
    </row>
    <row r="8" spans="1:21" ht="15.75" customHeight="1" x14ac:dyDescent="0.2">
      <c r="A8" s="33"/>
      <c r="B8" s="20"/>
      <c r="C8" s="20" t="s">
        <v>17</v>
      </c>
      <c r="E8" s="20"/>
      <c r="F8" s="20"/>
      <c r="G8" s="40">
        <f ca="1">TODAY()</f>
        <v>44259</v>
      </c>
      <c r="H8" s="39">
        <f ca="1">NOW()</f>
        <v>44259.55876886574</v>
      </c>
      <c r="I8" s="23"/>
      <c r="J8" s="23"/>
      <c r="K8" s="50"/>
    </row>
    <row r="9" spans="1:21" s="2" customFormat="1" ht="18" customHeight="1" x14ac:dyDescent="0.2">
      <c r="A9" s="33"/>
      <c r="B9" s="37" t="s">
        <v>20</v>
      </c>
      <c r="C9" s="38" t="s">
        <v>31</v>
      </c>
      <c r="D9" s="38" t="s">
        <v>32</v>
      </c>
      <c r="E9" s="38" t="s">
        <v>45</v>
      </c>
      <c r="F9" s="38" t="s">
        <v>58</v>
      </c>
      <c r="G9" s="38" t="s">
        <v>61</v>
      </c>
      <c r="H9" s="38" t="s">
        <v>71</v>
      </c>
      <c r="I9" s="38" t="s">
        <v>77</v>
      </c>
      <c r="J9" s="38" t="s">
        <v>88</v>
      </c>
      <c r="K9" s="51" t="s">
        <v>97</v>
      </c>
      <c r="L9" s="1"/>
      <c r="M9" s="1"/>
      <c r="N9" s="1"/>
      <c r="O9" s="1"/>
      <c r="P9" s="1"/>
      <c r="Q9" s="1"/>
      <c r="R9" s="1"/>
      <c r="S9" s="1"/>
      <c r="T9" s="1"/>
    </row>
    <row r="10" spans="1:21" s="3" customFormat="1" ht="13.5" customHeight="1" x14ac:dyDescent="0.2">
      <c r="A10" s="33"/>
      <c r="B10" s="41">
        <f>ROW(B10) - ROW($B$9)</f>
        <v>1</v>
      </c>
      <c r="C10" s="48">
        <v>8</v>
      </c>
      <c r="D10" s="45" t="s">
        <v>33</v>
      </c>
      <c r="E10" s="45" t="s">
        <v>46</v>
      </c>
      <c r="F10" s="45" t="s">
        <v>33</v>
      </c>
      <c r="G10" s="46" t="s">
        <v>62</v>
      </c>
      <c r="H10" s="46" t="s">
        <v>72</v>
      </c>
      <c r="I10" s="46" t="s">
        <v>78</v>
      </c>
      <c r="J10" s="46" t="s">
        <v>89</v>
      </c>
      <c r="K10" s="46" t="s">
        <v>98</v>
      </c>
      <c r="L10" s="1"/>
      <c r="M10" s="1"/>
      <c r="N10" s="1"/>
      <c r="O10" s="1"/>
      <c r="P10" s="1"/>
      <c r="Q10" s="1"/>
      <c r="R10" s="1"/>
      <c r="S10" s="1"/>
      <c r="T10" s="1"/>
    </row>
    <row r="11" spans="1:21" s="3" customFormat="1" ht="13.5" customHeight="1" x14ac:dyDescent="0.2">
      <c r="A11" s="33"/>
      <c r="B11" s="42">
        <f>ROW(B11) - ROW($B$9)</f>
        <v>2</v>
      </c>
      <c r="C11" s="49">
        <v>1</v>
      </c>
      <c r="D11" s="47" t="s">
        <v>34</v>
      </c>
      <c r="E11" s="47" t="s">
        <v>47</v>
      </c>
      <c r="F11" s="47"/>
      <c r="G11" s="47" t="s">
        <v>63</v>
      </c>
      <c r="H11" s="47" t="s">
        <v>72</v>
      </c>
      <c r="I11" s="47" t="s">
        <v>79</v>
      </c>
      <c r="J11" s="47" t="s">
        <v>90</v>
      </c>
      <c r="K11" s="47" t="s">
        <v>99</v>
      </c>
      <c r="L11" s="1"/>
      <c r="M11" s="1"/>
      <c r="N11" s="1"/>
      <c r="O11" s="1"/>
      <c r="P11" s="1"/>
      <c r="Q11" s="1"/>
      <c r="R11" s="1"/>
      <c r="S11" s="1"/>
      <c r="T11" s="1"/>
    </row>
    <row r="12" spans="1:21" s="3" customFormat="1" ht="13.5" customHeight="1" x14ac:dyDescent="0.2">
      <c r="A12" s="33"/>
      <c r="B12" s="41">
        <f>ROW(B12) - ROW($B$9)</f>
        <v>3</v>
      </c>
      <c r="C12" s="48">
        <v>61</v>
      </c>
      <c r="D12" s="45" t="s">
        <v>35</v>
      </c>
      <c r="E12" s="45" t="s">
        <v>48</v>
      </c>
      <c r="F12" s="45" t="s">
        <v>35</v>
      </c>
      <c r="G12" s="46" t="s">
        <v>64</v>
      </c>
      <c r="H12" s="46" t="s">
        <v>72</v>
      </c>
      <c r="I12" s="46" t="s">
        <v>80</v>
      </c>
      <c r="J12" s="46" t="s">
        <v>91</v>
      </c>
      <c r="K12" s="46" t="s">
        <v>100</v>
      </c>
      <c r="L12" s="1"/>
      <c r="M12" s="1"/>
      <c r="N12" s="1"/>
      <c r="O12" s="1"/>
      <c r="P12" s="1"/>
      <c r="Q12" s="1"/>
      <c r="R12" s="1"/>
      <c r="S12" s="1"/>
      <c r="T12" s="1"/>
    </row>
    <row r="13" spans="1:21" s="3" customFormat="1" ht="13.5" customHeight="1" x14ac:dyDescent="0.2">
      <c r="A13" s="33"/>
      <c r="B13" s="42">
        <f>ROW(B13) - ROW($B$9)</f>
        <v>4</v>
      </c>
      <c r="C13" s="49">
        <v>2</v>
      </c>
      <c r="D13" s="47" t="s">
        <v>36</v>
      </c>
      <c r="E13" s="47" t="s">
        <v>49</v>
      </c>
      <c r="F13" s="47" t="s">
        <v>36</v>
      </c>
      <c r="G13" s="47" t="s">
        <v>65</v>
      </c>
      <c r="H13" s="47" t="s">
        <v>72</v>
      </c>
      <c r="I13" s="47" t="s">
        <v>81</v>
      </c>
      <c r="J13" s="47" t="s">
        <v>92</v>
      </c>
      <c r="K13" s="47" t="s">
        <v>101</v>
      </c>
      <c r="L13" s="1"/>
      <c r="M13" s="1"/>
      <c r="N13" s="1"/>
      <c r="O13" s="1"/>
      <c r="P13" s="1"/>
      <c r="Q13" s="1"/>
      <c r="R13" s="1"/>
      <c r="S13" s="1"/>
      <c r="T13" s="1"/>
    </row>
    <row r="14" spans="1:21" s="3" customFormat="1" ht="13.5" customHeight="1" x14ac:dyDescent="0.2">
      <c r="A14" s="33"/>
      <c r="B14" s="41">
        <f>ROW(B14) - ROW($B$9)</f>
        <v>5</v>
      </c>
      <c r="C14" s="48">
        <v>12</v>
      </c>
      <c r="D14" s="45" t="s">
        <v>37</v>
      </c>
      <c r="E14" s="45" t="s">
        <v>50</v>
      </c>
      <c r="F14" s="45" t="s">
        <v>37</v>
      </c>
      <c r="G14" s="46" t="s">
        <v>65</v>
      </c>
      <c r="H14" s="46" t="s">
        <v>72</v>
      </c>
      <c r="I14" s="46" t="s">
        <v>82</v>
      </c>
      <c r="J14" s="46" t="s">
        <v>92</v>
      </c>
      <c r="K14" s="46" t="s">
        <v>102</v>
      </c>
      <c r="L14" s="1"/>
      <c r="M14" s="1"/>
      <c r="N14" s="1"/>
      <c r="O14" s="1"/>
      <c r="P14" s="1"/>
      <c r="Q14" s="1"/>
      <c r="R14" s="1"/>
      <c r="S14" s="1"/>
      <c r="T14" s="1"/>
    </row>
    <row r="15" spans="1:21" s="3" customFormat="1" ht="13.5" customHeight="1" x14ac:dyDescent="0.2">
      <c r="A15" s="33"/>
      <c r="B15" s="42">
        <f>ROW(B15) - ROW($B$9)</f>
        <v>6</v>
      </c>
      <c r="C15" s="49">
        <v>30</v>
      </c>
      <c r="D15" s="47" t="s">
        <v>38</v>
      </c>
      <c r="E15" s="47" t="s">
        <v>51</v>
      </c>
      <c r="F15" s="47" t="s">
        <v>38</v>
      </c>
      <c r="G15" s="47" t="s">
        <v>65</v>
      </c>
      <c r="H15" s="47" t="s">
        <v>72</v>
      </c>
      <c r="I15" s="47" t="s">
        <v>83</v>
      </c>
      <c r="J15" s="47" t="s">
        <v>92</v>
      </c>
      <c r="K15" s="47" t="s">
        <v>103</v>
      </c>
      <c r="L15" s="1"/>
      <c r="M15" s="1"/>
      <c r="N15" s="1"/>
      <c r="O15" s="1"/>
      <c r="P15" s="1"/>
      <c r="Q15" s="1"/>
      <c r="R15" s="1"/>
      <c r="S15" s="1"/>
      <c r="T15" s="1"/>
    </row>
    <row r="16" spans="1:21" s="3" customFormat="1" ht="13.5" customHeight="1" x14ac:dyDescent="0.2">
      <c r="A16" s="33"/>
      <c r="B16" s="41">
        <f>ROW(B16) - ROW($B$9)</f>
        <v>7</v>
      </c>
      <c r="C16" s="48">
        <v>30</v>
      </c>
      <c r="D16" s="45" t="s">
        <v>39</v>
      </c>
      <c r="E16" s="45" t="s">
        <v>52</v>
      </c>
      <c r="F16" s="45" t="s">
        <v>39</v>
      </c>
      <c r="G16" s="46" t="s">
        <v>65</v>
      </c>
      <c r="H16" s="46" t="s">
        <v>72</v>
      </c>
      <c r="I16" s="46" t="s">
        <v>84</v>
      </c>
      <c r="J16" s="46" t="s">
        <v>92</v>
      </c>
      <c r="K16" s="46" t="s">
        <v>104</v>
      </c>
      <c r="L16" s="1"/>
      <c r="M16" s="1"/>
      <c r="N16" s="1"/>
      <c r="O16" s="1"/>
      <c r="P16" s="1"/>
      <c r="Q16" s="1"/>
      <c r="R16" s="1"/>
      <c r="S16" s="1"/>
      <c r="T16" s="1"/>
    </row>
    <row r="17" spans="1:20" s="3" customFormat="1" ht="13.5" customHeight="1" x14ac:dyDescent="0.2">
      <c r="A17" s="33"/>
      <c r="B17" s="42">
        <f>ROW(B17) - ROW($B$9)</f>
        <v>8</v>
      </c>
      <c r="C17" s="49">
        <v>1</v>
      </c>
      <c r="D17" s="47" t="s">
        <v>40</v>
      </c>
      <c r="E17" s="47" t="s">
        <v>53</v>
      </c>
      <c r="F17" s="47"/>
      <c r="G17" s="47" t="s">
        <v>66</v>
      </c>
      <c r="H17" s="47" t="s">
        <v>73</v>
      </c>
      <c r="I17" s="47" t="s">
        <v>85</v>
      </c>
      <c r="J17" s="47" t="s">
        <v>93</v>
      </c>
      <c r="K17" s="47" t="s">
        <v>40</v>
      </c>
      <c r="L17" s="1"/>
      <c r="M17" s="1"/>
      <c r="N17" s="1"/>
      <c r="O17" s="1"/>
      <c r="P17" s="1"/>
      <c r="Q17" s="1"/>
      <c r="R17" s="1"/>
      <c r="S17" s="1"/>
      <c r="T17" s="1"/>
    </row>
    <row r="18" spans="1:20" s="3" customFormat="1" ht="13.5" customHeight="1" x14ac:dyDescent="0.2">
      <c r="A18" s="33"/>
      <c r="B18" s="41">
        <f>ROW(B18) - ROW($B$9)</f>
        <v>9</v>
      </c>
      <c r="C18" s="48">
        <v>1</v>
      </c>
      <c r="D18" s="45" t="s">
        <v>41</v>
      </c>
      <c r="E18" s="45" t="s">
        <v>54</v>
      </c>
      <c r="F18" s="45" t="s">
        <v>59</v>
      </c>
      <c r="G18" s="46" t="s">
        <v>67</v>
      </c>
      <c r="H18" s="46" t="s">
        <v>74</v>
      </c>
      <c r="I18" s="46" t="s">
        <v>86</v>
      </c>
      <c r="J18" s="46" t="s">
        <v>94</v>
      </c>
      <c r="K18" s="46" t="s">
        <v>41</v>
      </c>
      <c r="L18" s="1"/>
      <c r="M18" s="1"/>
      <c r="N18" s="1"/>
      <c r="O18" s="1"/>
      <c r="P18" s="1"/>
      <c r="Q18" s="1"/>
      <c r="R18" s="1"/>
      <c r="S18" s="1"/>
      <c r="T18" s="1"/>
    </row>
    <row r="19" spans="1:20" s="3" customFormat="1" ht="13.5" customHeight="1" x14ac:dyDescent="0.2">
      <c r="A19" s="33"/>
      <c r="B19" s="42">
        <f>ROW(B19) - ROW($B$9)</f>
        <v>10</v>
      </c>
      <c r="C19" s="49">
        <v>2</v>
      </c>
      <c r="D19" s="47" t="s">
        <v>42</v>
      </c>
      <c r="E19" s="47" t="s">
        <v>55</v>
      </c>
      <c r="F19" s="47" t="s">
        <v>60</v>
      </c>
      <c r="G19" s="47" t="s">
        <v>68</v>
      </c>
      <c r="H19" s="47" t="s">
        <v>75</v>
      </c>
      <c r="I19" s="47" t="s">
        <v>87</v>
      </c>
      <c r="J19" s="47" t="s">
        <v>95</v>
      </c>
      <c r="K19" s="47" t="s">
        <v>42</v>
      </c>
      <c r="L19" s="1"/>
      <c r="M19" s="1"/>
      <c r="N19" s="1"/>
      <c r="O19" s="1"/>
      <c r="P19" s="1"/>
      <c r="Q19" s="1"/>
      <c r="R19" s="1"/>
      <c r="S19" s="1"/>
      <c r="T19" s="1"/>
    </row>
    <row r="20" spans="1:20" s="3" customFormat="1" ht="13.5" customHeight="1" x14ac:dyDescent="0.2">
      <c r="A20" s="33"/>
      <c r="B20" s="41">
        <f>ROW(B20) - ROW($B$9)</f>
        <v>11</v>
      </c>
      <c r="C20" s="48">
        <v>1</v>
      </c>
      <c r="D20" s="45" t="s">
        <v>43</v>
      </c>
      <c r="E20" s="45" t="s">
        <v>56</v>
      </c>
      <c r="F20" s="45"/>
      <c r="G20" s="46" t="s">
        <v>69</v>
      </c>
      <c r="H20" s="46" t="s">
        <v>76</v>
      </c>
      <c r="I20" s="46"/>
      <c r="J20" s="46" t="s">
        <v>96</v>
      </c>
      <c r="K20" s="46" t="s">
        <v>43</v>
      </c>
      <c r="L20" s="1"/>
      <c r="M20" s="1"/>
      <c r="N20" s="1"/>
      <c r="O20" s="1"/>
      <c r="P20" s="1"/>
      <c r="Q20" s="1"/>
      <c r="R20" s="1"/>
      <c r="S20" s="1"/>
      <c r="T20" s="1"/>
    </row>
    <row r="21" spans="1:20" s="3" customFormat="1" ht="13.5" customHeight="1" x14ac:dyDescent="0.2">
      <c r="A21" s="33"/>
      <c r="B21" s="42">
        <f>ROW(B21) - ROW($B$9)</f>
        <v>12</v>
      </c>
      <c r="C21" s="49">
        <v>1</v>
      </c>
      <c r="D21" s="47" t="s">
        <v>44</v>
      </c>
      <c r="E21" s="47" t="s">
        <v>57</v>
      </c>
      <c r="F21" s="47"/>
      <c r="G21" s="47" t="s">
        <v>70</v>
      </c>
      <c r="H21" s="47" t="s">
        <v>76</v>
      </c>
      <c r="I21" s="47"/>
      <c r="J21" s="47" t="s">
        <v>96</v>
      </c>
      <c r="K21" s="47" t="s">
        <v>44</v>
      </c>
      <c r="L21" s="1"/>
      <c r="M21" s="1"/>
      <c r="N21" s="1"/>
      <c r="O21" s="1"/>
      <c r="P21" s="1"/>
      <c r="Q21" s="1"/>
      <c r="R21" s="1"/>
      <c r="S21" s="1"/>
      <c r="T21" s="1"/>
    </row>
    <row r="22" spans="1:20" x14ac:dyDescent="0.2">
      <c r="A22" s="33"/>
      <c r="B22" s="44" t="s">
        <v>23</v>
      </c>
      <c r="C22" s="58" t="s">
        <v>30</v>
      </c>
      <c r="D22" s="43"/>
      <c r="E22" s="31"/>
      <c r="F22" s="30"/>
      <c r="G22" s="29"/>
      <c r="H22" s="5" t="s">
        <v>19</v>
      </c>
      <c r="K22" s="52"/>
    </row>
    <row r="23" spans="1:20" x14ac:dyDescent="0.2">
      <c r="A23" s="33"/>
      <c r="B23" s="8"/>
      <c r="C23" s="8"/>
      <c r="D23" s="8"/>
      <c r="E23" s="8"/>
      <c r="F23" s="7"/>
      <c r="G23" s="9"/>
      <c r="H23" s="6"/>
      <c r="I23" s="6"/>
      <c r="J23" s="6"/>
      <c r="K23" s="50"/>
    </row>
    <row r="24" spans="1:20" x14ac:dyDescent="0.2">
      <c r="A24" s="33"/>
      <c r="B24" s="8"/>
      <c r="C24" s="8"/>
      <c r="D24" s="8"/>
      <c r="E24" s="8"/>
      <c r="F24" s="8"/>
      <c r="G24" s="10"/>
      <c r="H24" s="7"/>
      <c r="I24" s="7"/>
      <c r="J24" s="7"/>
      <c r="K24" s="50"/>
    </row>
    <row r="25" spans="1:20" x14ac:dyDescent="0.2">
      <c r="A25" s="33"/>
      <c r="B25" s="8"/>
      <c r="C25" s="8"/>
      <c r="D25" s="8"/>
      <c r="E25" s="8"/>
      <c r="F25" s="8"/>
      <c r="G25" s="10"/>
      <c r="H25" s="7"/>
      <c r="I25" s="7"/>
      <c r="J25" s="7"/>
      <c r="K25" s="50" t="s">
        <v>21</v>
      </c>
    </row>
    <row r="26" spans="1:20" ht="13.5" thickBot="1" x14ac:dyDescent="0.25">
      <c r="A26" s="33"/>
      <c r="B26" s="28"/>
      <c r="C26" s="13"/>
      <c r="D26" s="13"/>
      <c r="E26" s="13"/>
      <c r="F26" s="13"/>
      <c r="G26" s="11"/>
      <c r="H26" s="12"/>
      <c r="I26" s="12"/>
      <c r="J26" s="12"/>
      <c r="K26" s="11"/>
    </row>
    <row r="28" spans="1:20" x14ac:dyDescent="0.2">
      <c r="D28" s="1"/>
      <c r="E28" s="1"/>
      <c r="F28" s="1"/>
      <c r="G28" s="1"/>
    </row>
    <row r="29" spans="1:20" x14ac:dyDescent="0.2">
      <c r="D29" s="1"/>
      <c r="E29" s="1"/>
      <c r="F29" s="1"/>
      <c r="G29" s="1"/>
    </row>
    <row r="30" spans="1:20" x14ac:dyDescent="0.2">
      <c r="D30" s="1"/>
      <c r="E30" s="1"/>
      <c r="F30" s="1"/>
      <c r="G30" s="1"/>
    </row>
  </sheetData>
  <phoneticPr fontId="0" type="noConversion"/>
  <pageMargins left="0.46" right="0.36" top="0.57999999999999996" bottom="0.984251969" header="0.5" footer="0.5"/>
  <pageSetup paperSize="9" scale="60" orientation="landscape" horizontalDpi="200" verticalDpi="200" r:id="rId1"/>
  <headerFooter alignWithMargins="0">
    <oddFooter>&amp;L&amp;BAltium Limited Confidential&amp;B&amp;C&amp;D&amp;RPage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14"/>
  <sheetViews>
    <sheetView workbookViewId="0">
      <selection activeCell="B14" sqref="B14"/>
    </sheetView>
  </sheetViews>
  <sheetFormatPr baseColWidth="10" defaultColWidth="9.140625" defaultRowHeight="12.75" x14ac:dyDescent="0.2"/>
  <cols>
    <col min="1" max="1" width="28" bestFit="1" customWidth="1"/>
    <col min="2" max="2" width="110.5703125" customWidth="1"/>
  </cols>
  <sheetData>
    <row r="1" spans="1:2" x14ac:dyDescent="0.2">
      <c r="A1" s="27" t="s">
        <v>0</v>
      </c>
      <c r="B1" s="59" t="s">
        <v>105</v>
      </c>
    </row>
    <row r="2" spans="1:2" x14ac:dyDescent="0.2">
      <c r="A2" s="26" t="s">
        <v>1</v>
      </c>
      <c r="B2" s="60" t="s">
        <v>26</v>
      </c>
    </row>
    <row r="3" spans="1:2" x14ac:dyDescent="0.2">
      <c r="A3" s="27" t="s">
        <v>2</v>
      </c>
      <c r="B3" s="61" t="s">
        <v>27</v>
      </c>
    </row>
    <row r="4" spans="1:2" x14ac:dyDescent="0.2">
      <c r="A4" s="26" t="s">
        <v>3</v>
      </c>
      <c r="B4" s="60" t="s">
        <v>25</v>
      </c>
    </row>
    <row r="5" spans="1:2" x14ac:dyDescent="0.2">
      <c r="A5" s="27" t="s">
        <v>4</v>
      </c>
      <c r="B5" s="61" t="s">
        <v>106</v>
      </c>
    </row>
    <row r="6" spans="1:2" x14ac:dyDescent="0.2">
      <c r="A6" s="26" t="s">
        <v>5</v>
      </c>
      <c r="B6" s="60" t="s">
        <v>24</v>
      </c>
    </row>
    <row r="7" spans="1:2" x14ac:dyDescent="0.2">
      <c r="A7" s="27" t="s">
        <v>6</v>
      </c>
      <c r="B7" s="61" t="s">
        <v>30</v>
      </c>
    </row>
    <row r="8" spans="1:2" x14ac:dyDescent="0.2">
      <c r="A8" s="26" t="s">
        <v>7</v>
      </c>
      <c r="B8" s="60" t="s">
        <v>29</v>
      </c>
    </row>
    <row r="9" spans="1:2" x14ac:dyDescent="0.2">
      <c r="A9" s="27" t="s">
        <v>8</v>
      </c>
      <c r="B9" s="61" t="s">
        <v>28</v>
      </c>
    </row>
    <row r="10" spans="1:2" x14ac:dyDescent="0.2">
      <c r="A10" s="26" t="s">
        <v>9</v>
      </c>
      <c r="B10" s="60" t="s">
        <v>107</v>
      </c>
    </row>
    <row r="11" spans="1:2" x14ac:dyDescent="0.2">
      <c r="A11" s="27" t="s">
        <v>10</v>
      </c>
      <c r="B11" s="61" t="s">
        <v>108</v>
      </c>
    </row>
    <row r="12" spans="1:2" x14ac:dyDescent="0.2">
      <c r="A12" s="26" t="s">
        <v>11</v>
      </c>
      <c r="B12" s="60" t="s">
        <v>109</v>
      </c>
    </row>
    <row r="13" spans="1:2" x14ac:dyDescent="0.2">
      <c r="A13" s="27" t="s">
        <v>12</v>
      </c>
      <c r="B13" s="61" t="s">
        <v>110</v>
      </c>
    </row>
    <row r="14" spans="1:2" x14ac:dyDescent="0.2">
      <c r="A14" s="26" t="s">
        <v>13</v>
      </c>
      <c r="B14" s="60" t="s">
        <v>111</v>
      </c>
    </row>
  </sheetData>
  <phoneticPr fontId="15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Part List Report</vt:lpstr>
      <vt:lpstr>Project Information</vt:lpstr>
    </vt:vector>
  </TitlesOfParts>
  <Company>Altium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Thilo Wendt</dc:creator>
  <cp:lastModifiedBy>Thilo Wendt</cp:lastModifiedBy>
  <cp:lastPrinted>2005-05-16T01:11:50Z</cp:lastPrinted>
  <dcterms:created xsi:type="dcterms:W3CDTF">2002-11-05T15:28:02Z</dcterms:created>
  <dcterms:modified xsi:type="dcterms:W3CDTF">2021-03-04T12:24:38Z</dcterms:modified>
</cp:coreProperties>
</file>